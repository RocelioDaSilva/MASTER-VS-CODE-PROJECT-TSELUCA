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_originais" sheetId="1" r:id="rId1"/>
    <sheet name="Calculos" sheetId="2" r:id="rId2"/>
    <sheet name="Graficos" sheetId="3" r:id="rId3"/>
  </sheets>
  <calcPr calcId="124519" fullCalcOnLoad="1"/>
</workbook>
</file>

<file path=xl/sharedStrings.xml><?xml version="1.0" encoding="utf-8"?>
<sst xmlns="http://schemas.openxmlformats.org/spreadsheetml/2006/main" count="31" uniqueCount="31">
  <si>
    <t>Geofone</t>
  </si>
  <si>
    <t>Distância (m)</t>
  </si>
  <si>
    <t>Reflexão 1 (ms)</t>
  </si>
  <si>
    <t>Reflexão 2 (ms)</t>
  </si>
  <si>
    <t>Reflexão 3 (ms)</t>
  </si>
  <si>
    <t>Reflexão 4 (ms)</t>
  </si>
  <si>
    <t>Reflexão 5 (ms)</t>
  </si>
  <si>
    <t>source</t>
  </si>
  <si>
    <t>offset_m</t>
  </si>
  <si>
    <t>t_r1_ms</t>
  </si>
  <si>
    <t>t_r2_ms</t>
  </si>
  <si>
    <t>t_r3_ms</t>
  </si>
  <si>
    <t>t_r4_ms</t>
  </si>
  <si>
    <t>t_r5_ms</t>
  </si>
  <si>
    <t>x^2 (m^2)</t>
  </si>
  <si>
    <t>t1^2 (s^2)</t>
  </si>
  <si>
    <t>t2^2 (s^2)</t>
  </si>
  <si>
    <t>t3^2 (s^2)</t>
  </si>
  <si>
    <t>t4^2 (s^2)</t>
  </si>
  <si>
    <t>t5^2 (s^2)</t>
  </si>
  <si>
    <t>Ref 1</t>
  </si>
  <si>
    <t>Ref 2</t>
  </si>
  <si>
    <t>Ref 3</t>
  </si>
  <si>
    <t>Ref 4</t>
  </si>
  <si>
    <t>Ref 5</t>
  </si>
  <si>
    <t>t0 (s)</t>
  </si>
  <si>
    <t>t0 (ms)</t>
  </si>
  <si>
    <t>Vnmo (m/s)</t>
  </si>
  <si>
    <t>Vint (m/s) [Dix]</t>
  </si>
  <si>
    <t>Depth (m)</t>
  </si>
  <si>
    <t>Thickness (m)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</si>
</sst>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60970</xdr:colOff>
      <xdr:row>18</xdr:row>
      <xdr:rowOff>53347</xdr:rowOff>
    </xdr:to>
    <xdr:pic>
      <xdr:nvPicPr>
        <xdr:cNvPr id="2" name="Picture 1" descr="t2_vs_x2_ref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4937770" cy="32918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9</xdr:col>
      <xdr:colOff>60970</xdr:colOff>
      <xdr:row>38</xdr:row>
      <xdr:rowOff>53347</xdr:rowOff>
    </xdr:to>
    <xdr:pic>
      <xdr:nvPicPr>
        <xdr:cNvPr id="3" name="Picture 2" descr="t2_vs_x2_ref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000500"/>
          <a:ext cx="4937770" cy="32918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9</xdr:col>
      <xdr:colOff>60970</xdr:colOff>
      <xdr:row>58</xdr:row>
      <xdr:rowOff>53347</xdr:rowOff>
    </xdr:to>
    <xdr:pic>
      <xdr:nvPicPr>
        <xdr:cNvPr id="4" name="Picture 3" descr="t2_vs_x2_ref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7810500"/>
          <a:ext cx="4937770" cy="32918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9</xdr:col>
      <xdr:colOff>60970</xdr:colOff>
      <xdr:row>78</xdr:row>
      <xdr:rowOff>53347</xdr:rowOff>
    </xdr:to>
    <xdr:pic>
      <xdr:nvPicPr>
        <xdr:cNvPr id="5" name="Picture 4" descr="t2_vs_x2_ref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1620500"/>
          <a:ext cx="4937770" cy="32918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9</xdr:col>
      <xdr:colOff>60970</xdr:colOff>
      <xdr:row>98</xdr:row>
      <xdr:rowOff>53347</xdr:rowOff>
    </xdr:to>
    <xdr:pic>
      <xdr:nvPicPr>
        <xdr:cNvPr id="6" name="Picture 5" descr="t2_vs_x2_ref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5430500"/>
          <a:ext cx="4937770" cy="32918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9</xdr:col>
      <xdr:colOff>60970</xdr:colOff>
      <xdr:row>118</xdr:row>
      <xdr:rowOff>53347</xdr:rowOff>
    </xdr:to>
    <xdr:pic>
      <xdr:nvPicPr>
        <xdr:cNvPr id="7" name="Picture 6" descr="Vnmo_vs_t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19240500"/>
          <a:ext cx="4937770" cy="32918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9</xdr:col>
      <xdr:colOff>60970</xdr:colOff>
      <xdr:row>138</xdr:row>
      <xdr:rowOff>53347</xdr:rowOff>
    </xdr:to>
    <xdr:pic>
      <xdr:nvPicPr>
        <xdr:cNvPr id="8" name="Picture 7" descr="depths_per_reflector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23050500"/>
          <a:ext cx="4937770" cy="32918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9</xdr:col>
      <xdr:colOff>60970</xdr:colOff>
      <xdr:row>158</xdr:row>
      <xdr:rowOff>53347</xdr:rowOff>
    </xdr:to>
    <xdr:pic>
      <xdr:nvPicPr>
        <xdr:cNvPr id="9" name="Picture 8" descr="thickness_per_layer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26860500"/>
          <a:ext cx="4937770" cy="3291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</row>
    <row r="3" spans="1:7">
      <c r="A3">
        <v>1</v>
      </c>
      <c r="B3">
        <v>3</v>
      </c>
      <c r="C3">
        <v>3.11</v>
      </c>
      <c r="D3">
        <v>18.05</v>
      </c>
      <c r="E3">
        <v>34.54</v>
      </c>
      <c r="F3">
        <v>48.04</v>
      </c>
      <c r="G3">
        <v>80.5</v>
      </c>
    </row>
    <row r="4" spans="1:7">
      <c r="A4">
        <v>2</v>
      </c>
      <c r="B4">
        <v>6</v>
      </c>
      <c r="C4">
        <v>3.42</v>
      </c>
      <c r="D4">
        <v>18.21</v>
      </c>
      <c r="E4">
        <v>34.64</v>
      </c>
      <c r="F4">
        <v>48.17</v>
      </c>
      <c r="G4">
        <v>80.51000000000001</v>
      </c>
    </row>
    <row r="5" spans="1:7">
      <c r="A5">
        <v>3</v>
      </c>
      <c r="B5">
        <v>9</v>
      </c>
      <c r="C5">
        <v>3.94</v>
      </c>
      <c r="D5">
        <v>18.48</v>
      </c>
      <c r="E5">
        <v>34.82</v>
      </c>
      <c r="F5">
        <v>48.37</v>
      </c>
      <c r="G5">
        <v>80.52</v>
      </c>
    </row>
    <row r="6" spans="1:7">
      <c r="A6">
        <v>4</v>
      </c>
      <c r="B6">
        <v>12</v>
      </c>
      <c r="C6">
        <v>4.65</v>
      </c>
      <c r="D6">
        <v>18.85</v>
      </c>
      <c r="E6">
        <v>35.07</v>
      </c>
      <c r="F6">
        <v>48.66</v>
      </c>
      <c r="G6">
        <v>80.55</v>
      </c>
    </row>
    <row r="7" spans="1:7">
      <c r="A7">
        <v>5</v>
      </c>
      <c r="B7">
        <v>15</v>
      </c>
      <c r="C7">
        <v>5.53</v>
      </c>
      <c r="D7">
        <v>19.32</v>
      </c>
      <c r="E7">
        <v>35.39</v>
      </c>
      <c r="F7">
        <v>49.03</v>
      </c>
      <c r="G7">
        <v>80.59</v>
      </c>
    </row>
    <row r="8" spans="1:7">
      <c r="A8">
        <v>6</v>
      </c>
      <c r="B8">
        <v>18</v>
      </c>
      <c r="C8">
        <v>6.56</v>
      </c>
      <c r="D8">
        <v>19.89</v>
      </c>
      <c r="E8">
        <v>35.77</v>
      </c>
      <c r="F8">
        <v>49.48</v>
      </c>
      <c r="G8">
        <v>80.65000000000001</v>
      </c>
    </row>
    <row r="9" spans="1:7">
      <c r="A9">
        <v>7</v>
      </c>
      <c r="B9">
        <v>21</v>
      </c>
      <c r="C9">
        <v>7.73</v>
      </c>
      <c r="D9">
        <v>20.55</v>
      </c>
      <c r="E9">
        <v>36.23</v>
      </c>
      <c r="F9">
        <v>50</v>
      </c>
      <c r="G9">
        <v>80.73</v>
      </c>
    </row>
    <row r="10" spans="1:7">
      <c r="A10">
        <v>8</v>
      </c>
      <c r="B10">
        <v>24</v>
      </c>
      <c r="C10">
        <v>9.01</v>
      </c>
      <c r="D10">
        <v>21.3</v>
      </c>
      <c r="E10">
        <v>36.75</v>
      </c>
      <c r="F10">
        <v>50.6</v>
      </c>
      <c r="G10">
        <v>80.83</v>
      </c>
    </row>
    <row r="11" spans="1:7">
      <c r="A11">
        <v>9</v>
      </c>
      <c r="B11">
        <v>27</v>
      </c>
      <c r="C11">
        <v>10.4</v>
      </c>
      <c r="D11">
        <v>22.14</v>
      </c>
      <c r="E11">
        <v>37.33</v>
      </c>
      <c r="F11">
        <v>51.26</v>
      </c>
      <c r="G11">
        <v>80.95999999999999</v>
      </c>
    </row>
    <row r="12" spans="1:7">
      <c r="A12">
        <v>10</v>
      </c>
      <c r="B12">
        <v>30</v>
      </c>
      <c r="C12">
        <v>11.88</v>
      </c>
      <c r="D12">
        <v>23.06</v>
      </c>
      <c r="E12">
        <v>37.98</v>
      </c>
      <c r="F12">
        <v>52</v>
      </c>
      <c r="G12">
        <v>81.11</v>
      </c>
    </row>
    <row r="13" spans="1:7">
      <c r="A13">
        <v>11</v>
      </c>
      <c r="B13">
        <v>33</v>
      </c>
      <c r="C13">
        <v>13.43</v>
      </c>
      <c r="D13">
        <v>24.05</v>
      </c>
      <c r="E13">
        <v>38.69</v>
      </c>
      <c r="F13">
        <v>52.8</v>
      </c>
      <c r="G13">
        <v>81.29000000000001</v>
      </c>
    </row>
    <row r="14" spans="1:7">
      <c r="A14">
        <v>12</v>
      </c>
      <c r="B14">
        <v>36</v>
      </c>
      <c r="C14">
        <v>15.04</v>
      </c>
      <c r="D14">
        <v>25.12</v>
      </c>
      <c r="E14">
        <v>39.45</v>
      </c>
      <c r="F14">
        <v>53.67</v>
      </c>
      <c r="G14">
        <v>81.51000000000001</v>
      </c>
    </row>
    <row r="15" spans="1:7">
      <c r="A15">
        <v>13</v>
      </c>
      <c r="B15">
        <v>39</v>
      </c>
      <c r="C15">
        <v>16.72</v>
      </c>
      <c r="D15">
        <v>26.26</v>
      </c>
      <c r="E15">
        <v>40.28</v>
      </c>
      <c r="F15">
        <v>54.59</v>
      </c>
      <c r="G15">
        <v>81.75</v>
      </c>
    </row>
    <row r="16" spans="1:7">
      <c r="A16">
        <v>14</v>
      </c>
      <c r="B16">
        <v>42</v>
      </c>
      <c r="C16">
        <v>18.44</v>
      </c>
      <c r="D16">
        <v>27.46</v>
      </c>
      <c r="E16">
        <v>41.16</v>
      </c>
      <c r="F16">
        <v>55.57</v>
      </c>
      <c r="G16">
        <v>82.03</v>
      </c>
    </row>
    <row r="17" spans="1:7">
      <c r="A17">
        <v>15</v>
      </c>
      <c r="B17">
        <v>45</v>
      </c>
      <c r="C17">
        <v>20.2</v>
      </c>
      <c r="D17">
        <v>28.71</v>
      </c>
      <c r="E17">
        <v>42.09</v>
      </c>
      <c r="F17">
        <v>56.6</v>
      </c>
      <c r="G17">
        <v>82.34999999999999</v>
      </c>
    </row>
    <row r="18" spans="1:7">
      <c r="A18">
        <v>16</v>
      </c>
      <c r="B18">
        <v>48</v>
      </c>
      <c r="C18">
        <v>22</v>
      </c>
      <c r="D18">
        <v>30.03</v>
      </c>
      <c r="E18">
        <v>43.07</v>
      </c>
      <c r="F18">
        <v>57.69</v>
      </c>
      <c r="G18">
        <v>82.69</v>
      </c>
    </row>
    <row r="19" spans="1:7">
      <c r="A19">
        <v>17</v>
      </c>
      <c r="B19">
        <v>51</v>
      </c>
      <c r="C19">
        <v>23.84</v>
      </c>
      <c r="D19">
        <v>31.39</v>
      </c>
      <c r="E19">
        <v>44.1</v>
      </c>
      <c r="F19">
        <v>58.82</v>
      </c>
      <c r="G19">
        <v>83.08</v>
      </c>
    </row>
    <row r="20" spans="1:7">
      <c r="A20">
        <v>18</v>
      </c>
      <c r="B20">
        <v>54</v>
      </c>
      <c r="C20">
        <v>25.7</v>
      </c>
      <c r="D20">
        <v>32.8</v>
      </c>
      <c r="E20">
        <v>45.18</v>
      </c>
      <c r="F20">
        <v>60</v>
      </c>
      <c r="G20">
        <v>83.5</v>
      </c>
    </row>
    <row r="21" spans="1:7">
      <c r="A21">
        <v>19</v>
      </c>
      <c r="B21">
        <v>57</v>
      </c>
      <c r="C21">
        <v>27.58</v>
      </c>
      <c r="D21">
        <v>34.26</v>
      </c>
      <c r="E21">
        <v>46.31</v>
      </c>
      <c r="F21">
        <v>61.22</v>
      </c>
      <c r="G21">
        <v>83.95</v>
      </c>
    </row>
    <row r="22" spans="1:7">
      <c r="A22">
        <v>20</v>
      </c>
      <c r="B22">
        <v>60</v>
      </c>
      <c r="C22">
        <v>29.49</v>
      </c>
      <c r="D22">
        <v>35.75</v>
      </c>
      <c r="E22">
        <v>47.48</v>
      </c>
      <c r="F22">
        <v>62.48</v>
      </c>
      <c r="G22">
        <v>84.44</v>
      </c>
    </row>
    <row r="23" spans="1:7">
      <c r="A23">
        <v>21</v>
      </c>
      <c r="B23">
        <v>63</v>
      </c>
      <c r="C23">
        <v>31.41</v>
      </c>
      <c r="D23">
        <v>37.29</v>
      </c>
      <c r="E23">
        <v>48.69</v>
      </c>
      <c r="F23">
        <v>63.78</v>
      </c>
      <c r="G23">
        <v>84.95999999999999</v>
      </c>
    </row>
    <row r="24" spans="1:7">
      <c r="A24">
        <v>22</v>
      </c>
      <c r="B24">
        <v>66</v>
      </c>
      <c r="C24">
        <v>33.36</v>
      </c>
      <c r="D24">
        <v>38.85</v>
      </c>
      <c r="E24">
        <v>49.93</v>
      </c>
      <c r="F24">
        <v>65.12</v>
      </c>
      <c r="G24">
        <v>85.52</v>
      </c>
    </row>
    <row r="25" spans="1:7">
      <c r="A25">
        <v>23</v>
      </c>
      <c r="B25">
        <v>69</v>
      </c>
      <c r="C25">
        <v>35.31</v>
      </c>
      <c r="D25">
        <v>40.46</v>
      </c>
      <c r="E25">
        <v>51.22</v>
      </c>
      <c r="F25">
        <v>66.48</v>
      </c>
      <c r="G25">
        <v>86.11</v>
      </c>
    </row>
    <row r="26" spans="1:7">
      <c r="A26">
        <v>24</v>
      </c>
      <c r="B26">
        <v>72</v>
      </c>
      <c r="C26">
        <v>37.29</v>
      </c>
      <c r="D26">
        <v>42.09</v>
      </c>
      <c r="E26">
        <v>52.54</v>
      </c>
      <c r="F26">
        <v>67.88</v>
      </c>
      <c r="G26">
        <v>86.73999999999999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34"/>
  <sheetViews>
    <sheetView workbookViewId="0"/>
  </sheetViews>
  <sheetFormatPr defaultRowHeight="15"/>
  <cols>
    <col min="1" max="22" width="14.7109375" customWidth="1"/>
  </cols>
  <sheetData>
    <row r="1" spans="1:1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 spans="1:17">
      <c r="A2">
        <v>0</v>
      </c>
      <c r="G2">
        <f>A2^2</f>
        <v>0</v>
      </c>
      <c r="H2">
        <f>(B2/1000)^2</f>
        <v>0</v>
      </c>
      <c r="I2">
        <f>(C2/1000)^2</f>
        <v>0</v>
      </c>
      <c r="J2">
        <f>(D2/1000)^2</f>
        <v>0</v>
      </c>
      <c r="K2">
        <f>(E2/1000)^2</f>
        <v>0</v>
      </c>
      <c r="L2">
        <f>(F2/1000)^2</f>
        <v>0</v>
      </c>
      <c r="M2">
        <f>IF( (B2/1000)^2 - (A2^2)/($T$31^2) &lt;= 0, 0, SQRT( (B2/1000)^2 - (A2^2)/($T$31^2) )*1000 )</f>
        <v>0</v>
      </c>
      <c r="N2">
        <f>IF( (C2/1000)^2 - (A2^2)/($U$31^2) &lt;= 0, 0, SQRT( (C2/1000)^2 - (A2^2)/($U$31^2) )*1000 )</f>
        <v>0</v>
      </c>
      <c r="O2">
        <f>IF( (D2/1000)^2 - (A2^2)/($V$31^2) &lt;= 0, 0, SQRT( (D2/1000)^2 - (A2^2)/($V$31^2) )*1000 )</f>
        <v>0</v>
      </c>
      <c r="P2">
        <f>IF( (E2/1000)^2 - (A2^2)/($W$31^2) &lt;= 0, 0, SQRT( (E2/1000)^2 - (A2^2)/($W$31^2) )*1000 )</f>
        <v>0</v>
      </c>
      <c r="Q2">
        <f>IF( (F2/1000)^2 - (A2^2)/($X$31^2) &lt;= 0, 0, SQRT( (F2/1000)^2 - (A2^2)/($X$31^2) )*1000 )</f>
        <v>0</v>
      </c>
    </row>
    <row r="3" spans="1:17">
      <c r="A3">
        <v>3</v>
      </c>
      <c r="B3">
        <v>3.11</v>
      </c>
      <c r="C3">
        <v>18.05</v>
      </c>
      <c r="D3">
        <v>34.54</v>
      </c>
      <c r="E3">
        <v>48.04</v>
      </c>
      <c r="F3">
        <v>80.5</v>
      </c>
      <c r="G3">
        <f>A3^2</f>
        <v>0</v>
      </c>
      <c r="H3">
        <f>(B3/1000)^2</f>
        <v>0</v>
      </c>
      <c r="I3">
        <f>(C3/1000)^2</f>
        <v>0</v>
      </c>
      <c r="J3">
        <f>(D3/1000)^2</f>
        <v>0</v>
      </c>
      <c r="K3">
        <f>(E3/1000)^2</f>
        <v>0</v>
      </c>
      <c r="L3">
        <f>(F3/1000)^2</f>
        <v>0</v>
      </c>
      <c r="M3">
        <f>IF( (B3/1000)^2 - (A3^2)/($T$31^2) &lt;= 0, 0, SQRT( (B3/1000)^2 - (A3^2)/($T$31^2) )*1000 )</f>
        <v>0</v>
      </c>
      <c r="N3">
        <f>IF( (C3/1000)^2 - (A3^2)/($U$31^2) &lt;= 0, 0, SQRT( (C3/1000)^2 - (A3^2)/($U$31^2) )*1000 )</f>
        <v>0</v>
      </c>
      <c r="O3">
        <f>IF( (D3/1000)^2 - (A3^2)/($V$31^2) &lt;= 0, 0, SQRT( (D3/1000)^2 - (A3^2)/($V$31^2) )*1000 )</f>
        <v>0</v>
      </c>
      <c r="P3">
        <f>IF( (E3/1000)^2 - (A3^2)/($W$31^2) &lt;= 0, 0, SQRT( (E3/1000)^2 - (A3^2)/($W$31^2) )*1000 )</f>
        <v>0</v>
      </c>
      <c r="Q3">
        <f>IF( (F3/1000)^2 - (A3^2)/($X$31^2) &lt;= 0, 0, SQRT( (F3/1000)^2 - (A3^2)/($X$31^2) )*1000 )</f>
        <v>0</v>
      </c>
    </row>
    <row r="4" spans="1:17">
      <c r="A4">
        <v>6</v>
      </c>
      <c r="B4">
        <v>3.42</v>
      </c>
      <c r="C4">
        <v>18.21</v>
      </c>
      <c r="D4">
        <v>34.64</v>
      </c>
      <c r="E4">
        <v>48.17</v>
      </c>
      <c r="F4">
        <v>80.51000000000001</v>
      </c>
      <c r="G4">
        <f>A4^2</f>
        <v>0</v>
      </c>
      <c r="H4">
        <f>(B4/1000)^2</f>
        <v>0</v>
      </c>
      <c r="I4">
        <f>(C4/1000)^2</f>
        <v>0</v>
      </c>
      <c r="J4">
        <f>(D4/1000)^2</f>
        <v>0</v>
      </c>
      <c r="K4">
        <f>(E4/1000)^2</f>
        <v>0</v>
      </c>
      <c r="L4">
        <f>(F4/1000)^2</f>
        <v>0</v>
      </c>
      <c r="M4">
        <f>IF( (B4/1000)^2 - (A4^2)/($T$31^2) &lt;= 0, 0, SQRT( (B4/1000)^2 - (A4^2)/($T$31^2) )*1000 )</f>
        <v>0</v>
      </c>
      <c r="N4">
        <f>IF( (C4/1000)^2 - (A4^2)/($U$31^2) &lt;= 0, 0, SQRT( (C4/1000)^2 - (A4^2)/($U$31^2) )*1000 )</f>
        <v>0</v>
      </c>
      <c r="O4">
        <f>IF( (D4/1000)^2 - (A4^2)/($V$31^2) &lt;= 0, 0, SQRT( (D4/1000)^2 - (A4^2)/($V$31^2) )*1000 )</f>
        <v>0</v>
      </c>
      <c r="P4">
        <f>IF( (E4/1000)^2 - (A4^2)/($W$31^2) &lt;= 0, 0, SQRT( (E4/1000)^2 - (A4^2)/($W$31^2) )*1000 )</f>
        <v>0</v>
      </c>
      <c r="Q4">
        <f>IF( (F4/1000)^2 - (A4^2)/($X$31^2) &lt;= 0, 0, SQRT( (F4/1000)^2 - (A4^2)/($X$31^2) )*1000 )</f>
        <v>0</v>
      </c>
    </row>
    <row r="5" spans="1:17">
      <c r="A5">
        <v>9</v>
      </c>
      <c r="B5">
        <v>3.94</v>
      </c>
      <c r="C5">
        <v>18.48</v>
      </c>
      <c r="D5">
        <v>34.82</v>
      </c>
      <c r="E5">
        <v>48.37</v>
      </c>
      <c r="F5">
        <v>80.52</v>
      </c>
      <c r="G5">
        <f>A5^2</f>
        <v>0</v>
      </c>
      <c r="H5">
        <f>(B5/1000)^2</f>
        <v>0</v>
      </c>
      <c r="I5">
        <f>(C5/1000)^2</f>
        <v>0</v>
      </c>
      <c r="J5">
        <f>(D5/1000)^2</f>
        <v>0</v>
      </c>
      <c r="K5">
        <f>(E5/1000)^2</f>
        <v>0</v>
      </c>
      <c r="L5">
        <f>(F5/1000)^2</f>
        <v>0</v>
      </c>
      <c r="M5">
        <f>IF( (B5/1000)^2 - (A5^2)/($T$31^2) &lt;= 0, 0, SQRT( (B5/1000)^2 - (A5^2)/($T$31^2) )*1000 )</f>
        <v>0</v>
      </c>
      <c r="N5">
        <f>IF( (C5/1000)^2 - (A5^2)/($U$31^2) &lt;= 0, 0, SQRT( (C5/1000)^2 - (A5^2)/($U$31^2) )*1000 )</f>
        <v>0</v>
      </c>
      <c r="O5">
        <f>IF( (D5/1000)^2 - (A5^2)/($V$31^2) &lt;= 0, 0, SQRT( (D5/1000)^2 - (A5^2)/($V$31^2) )*1000 )</f>
        <v>0</v>
      </c>
      <c r="P5">
        <f>IF( (E5/1000)^2 - (A5^2)/($W$31^2) &lt;= 0, 0, SQRT( (E5/1000)^2 - (A5^2)/($W$31^2) )*1000 )</f>
        <v>0</v>
      </c>
      <c r="Q5">
        <f>IF( (F5/1000)^2 - (A5^2)/($X$31^2) &lt;= 0, 0, SQRT( (F5/1000)^2 - (A5^2)/($X$31^2) )*1000 )</f>
        <v>0</v>
      </c>
    </row>
    <row r="6" spans="1:17">
      <c r="A6">
        <v>12</v>
      </c>
      <c r="B6">
        <v>4.65</v>
      </c>
      <c r="C6">
        <v>18.85</v>
      </c>
      <c r="D6">
        <v>35.07</v>
      </c>
      <c r="E6">
        <v>48.66</v>
      </c>
      <c r="F6">
        <v>80.55</v>
      </c>
      <c r="G6">
        <f>A6^2</f>
        <v>0</v>
      </c>
      <c r="H6">
        <f>(B6/1000)^2</f>
        <v>0</v>
      </c>
      <c r="I6">
        <f>(C6/1000)^2</f>
        <v>0</v>
      </c>
      <c r="J6">
        <f>(D6/1000)^2</f>
        <v>0</v>
      </c>
      <c r="K6">
        <f>(E6/1000)^2</f>
        <v>0</v>
      </c>
      <c r="L6">
        <f>(F6/1000)^2</f>
        <v>0</v>
      </c>
      <c r="M6">
        <f>IF( (B6/1000)^2 - (A6^2)/($T$31^2) &lt;= 0, 0, SQRT( (B6/1000)^2 - (A6^2)/($T$31^2) )*1000 )</f>
        <v>0</v>
      </c>
      <c r="N6">
        <f>IF( (C6/1000)^2 - (A6^2)/($U$31^2) &lt;= 0, 0, SQRT( (C6/1000)^2 - (A6^2)/($U$31^2) )*1000 )</f>
        <v>0</v>
      </c>
      <c r="O6">
        <f>IF( (D6/1000)^2 - (A6^2)/($V$31^2) &lt;= 0, 0, SQRT( (D6/1000)^2 - (A6^2)/($V$31^2) )*1000 )</f>
        <v>0</v>
      </c>
      <c r="P6">
        <f>IF( (E6/1000)^2 - (A6^2)/($W$31^2) &lt;= 0, 0, SQRT( (E6/1000)^2 - (A6^2)/($W$31^2) )*1000 )</f>
        <v>0</v>
      </c>
      <c r="Q6">
        <f>IF( (F6/1000)^2 - (A6^2)/($X$31^2) &lt;= 0, 0, SQRT( (F6/1000)^2 - (A6^2)/($X$31^2) )*1000 )</f>
        <v>0</v>
      </c>
    </row>
    <row r="7" spans="1:17">
      <c r="A7">
        <v>15</v>
      </c>
      <c r="B7">
        <v>5.53</v>
      </c>
      <c r="C7">
        <v>19.32</v>
      </c>
      <c r="D7">
        <v>35.39</v>
      </c>
      <c r="E7">
        <v>49.03</v>
      </c>
      <c r="F7">
        <v>80.59</v>
      </c>
      <c r="G7">
        <f>A7^2</f>
        <v>0</v>
      </c>
      <c r="H7">
        <f>(B7/1000)^2</f>
        <v>0</v>
      </c>
      <c r="I7">
        <f>(C7/1000)^2</f>
        <v>0</v>
      </c>
      <c r="J7">
        <f>(D7/1000)^2</f>
        <v>0</v>
      </c>
      <c r="K7">
        <f>(E7/1000)^2</f>
        <v>0</v>
      </c>
      <c r="L7">
        <f>(F7/1000)^2</f>
        <v>0</v>
      </c>
      <c r="M7">
        <f>IF( (B7/1000)^2 - (A7^2)/($T$31^2) &lt;= 0, 0, SQRT( (B7/1000)^2 - (A7^2)/($T$31^2) )*1000 )</f>
        <v>0</v>
      </c>
      <c r="N7">
        <f>IF( (C7/1000)^2 - (A7^2)/($U$31^2) &lt;= 0, 0, SQRT( (C7/1000)^2 - (A7^2)/($U$31^2) )*1000 )</f>
        <v>0</v>
      </c>
      <c r="O7">
        <f>IF( (D7/1000)^2 - (A7^2)/($V$31^2) &lt;= 0, 0, SQRT( (D7/1000)^2 - (A7^2)/($V$31^2) )*1000 )</f>
        <v>0</v>
      </c>
      <c r="P7">
        <f>IF( (E7/1000)^2 - (A7^2)/($W$31^2) &lt;= 0, 0, SQRT( (E7/1000)^2 - (A7^2)/($W$31^2) )*1000 )</f>
        <v>0</v>
      </c>
      <c r="Q7">
        <f>IF( (F7/1000)^2 - (A7^2)/($X$31^2) &lt;= 0, 0, SQRT( (F7/1000)^2 - (A7^2)/($X$31^2) )*1000 )</f>
        <v>0</v>
      </c>
    </row>
    <row r="8" spans="1:17">
      <c r="A8">
        <v>18</v>
      </c>
      <c r="B8">
        <v>6.56</v>
      </c>
      <c r="C8">
        <v>19.89</v>
      </c>
      <c r="D8">
        <v>35.77</v>
      </c>
      <c r="E8">
        <v>49.48</v>
      </c>
      <c r="F8">
        <v>80.65000000000001</v>
      </c>
      <c r="G8">
        <f>A8^2</f>
        <v>0</v>
      </c>
      <c r="H8">
        <f>(B8/1000)^2</f>
        <v>0</v>
      </c>
      <c r="I8">
        <f>(C8/1000)^2</f>
        <v>0</v>
      </c>
      <c r="J8">
        <f>(D8/1000)^2</f>
        <v>0</v>
      </c>
      <c r="K8">
        <f>(E8/1000)^2</f>
        <v>0</v>
      </c>
      <c r="L8">
        <f>(F8/1000)^2</f>
        <v>0</v>
      </c>
      <c r="M8">
        <f>IF( (B8/1000)^2 - (A8^2)/($T$31^2) &lt;= 0, 0, SQRT( (B8/1000)^2 - (A8^2)/($T$31^2) )*1000 )</f>
        <v>0</v>
      </c>
      <c r="N8">
        <f>IF( (C8/1000)^2 - (A8^2)/($U$31^2) &lt;= 0, 0, SQRT( (C8/1000)^2 - (A8^2)/($U$31^2) )*1000 )</f>
        <v>0</v>
      </c>
      <c r="O8">
        <f>IF( (D8/1000)^2 - (A8^2)/($V$31^2) &lt;= 0, 0, SQRT( (D8/1000)^2 - (A8^2)/($V$31^2) )*1000 )</f>
        <v>0</v>
      </c>
      <c r="P8">
        <f>IF( (E8/1000)^2 - (A8^2)/($W$31^2) &lt;= 0, 0, SQRT( (E8/1000)^2 - (A8^2)/($W$31^2) )*1000 )</f>
        <v>0</v>
      </c>
      <c r="Q8">
        <f>IF( (F8/1000)^2 - (A8^2)/($X$31^2) &lt;= 0, 0, SQRT( (F8/1000)^2 - (A8^2)/($X$31^2) )*1000 )</f>
        <v>0</v>
      </c>
    </row>
    <row r="9" spans="1:17">
      <c r="A9">
        <v>21</v>
      </c>
      <c r="B9">
        <v>7.73</v>
      </c>
      <c r="C9">
        <v>20.55</v>
      </c>
      <c r="D9">
        <v>36.23</v>
      </c>
      <c r="E9">
        <v>50</v>
      </c>
      <c r="F9">
        <v>80.73</v>
      </c>
      <c r="G9">
        <f>A9^2</f>
        <v>0</v>
      </c>
      <c r="H9">
        <f>(B9/1000)^2</f>
        <v>0</v>
      </c>
      <c r="I9">
        <f>(C9/1000)^2</f>
        <v>0</v>
      </c>
      <c r="J9">
        <f>(D9/1000)^2</f>
        <v>0</v>
      </c>
      <c r="K9">
        <f>(E9/1000)^2</f>
        <v>0</v>
      </c>
      <c r="L9">
        <f>(F9/1000)^2</f>
        <v>0</v>
      </c>
      <c r="M9">
        <f>IF( (B9/1000)^2 - (A9^2)/($T$31^2) &lt;= 0, 0, SQRT( (B9/1000)^2 - (A9^2)/($T$31^2) )*1000 )</f>
        <v>0</v>
      </c>
      <c r="N9">
        <f>IF( (C9/1000)^2 - (A9^2)/($U$31^2) &lt;= 0, 0, SQRT( (C9/1000)^2 - (A9^2)/($U$31^2) )*1000 )</f>
        <v>0</v>
      </c>
      <c r="O9">
        <f>IF( (D9/1000)^2 - (A9^2)/($V$31^2) &lt;= 0, 0, SQRT( (D9/1000)^2 - (A9^2)/($V$31^2) )*1000 )</f>
        <v>0</v>
      </c>
      <c r="P9">
        <f>IF( (E9/1000)^2 - (A9^2)/($W$31^2) &lt;= 0, 0, SQRT( (E9/1000)^2 - (A9^2)/($W$31^2) )*1000 )</f>
        <v>0</v>
      </c>
      <c r="Q9">
        <f>IF( (F9/1000)^2 - (A9^2)/($X$31^2) &lt;= 0, 0, SQRT( (F9/1000)^2 - (A9^2)/($X$31^2) )*1000 )</f>
        <v>0</v>
      </c>
    </row>
    <row r="10" spans="1:17">
      <c r="A10">
        <v>24</v>
      </c>
      <c r="B10">
        <v>9.01</v>
      </c>
      <c r="C10">
        <v>21.3</v>
      </c>
      <c r="D10">
        <v>36.75</v>
      </c>
      <c r="E10">
        <v>50.6</v>
      </c>
      <c r="F10">
        <v>80.83</v>
      </c>
      <c r="G10">
        <f>A10^2</f>
        <v>0</v>
      </c>
      <c r="H10">
        <f>(B10/1000)^2</f>
        <v>0</v>
      </c>
      <c r="I10">
        <f>(C10/1000)^2</f>
        <v>0</v>
      </c>
      <c r="J10">
        <f>(D10/1000)^2</f>
        <v>0</v>
      </c>
      <c r="K10">
        <f>(E10/1000)^2</f>
        <v>0</v>
      </c>
      <c r="L10">
        <f>(F10/1000)^2</f>
        <v>0</v>
      </c>
      <c r="M10">
        <f>IF( (B10/1000)^2 - (A10^2)/($T$31^2) &lt;= 0, 0, SQRT( (B10/1000)^2 - (A10^2)/($T$31^2) )*1000 )</f>
        <v>0</v>
      </c>
      <c r="N10">
        <f>IF( (C10/1000)^2 - (A10^2)/($U$31^2) &lt;= 0, 0, SQRT( (C10/1000)^2 - (A10^2)/($U$31^2) )*1000 )</f>
        <v>0</v>
      </c>
      <c r="O10">
        <f>IF( (D10/1000)^2 - (A10^2)/($V$31^2) &lt;= 0, 0, SQRT( (D10/1000)^2 - (A10^2)/($V$31^2) )*1000 )</f>
        <v>0</v>
      </c>
      <c r="P10">
        <f>IF( (E10/1000)^2 - (A10^2)/($W$31^2) &lt;= 0, 0, SQRT( (E10/1000)^2 - (A10^2)/($W$31^2) )*1000 )</f>
        <v>0</v>
      </c>
      <c r="Q10">
        <f>IF( (F10/1000)^2 - (A10^2)/($X$31^2) &lt;= 0, 0, SQRT( (F10/1000)^2 - (A10^2)/($X$31^2) )*1000 )</f>
        <v>0</v>
      </c>
    </row>
    <row r="11" spans="1:17">
      <c r="A11">
        <v>27</v>
      </c>
      <c r="B11">
        <v>10.4</v>
      </c>
      <c r="C11">
        <v>22.14</v>
      </c>
      <c r="D11">
        <v>37.33</v>
      </c>
      <c r="E11">
        <v>51.26</v>
      </c>
      <c r="F11">
        <v>80.95999999999999</v>
      </c>
      <c r="G11">
        <f>A11^2</f>
        <v>0</v>
      </c>
      <c r="H11">
        <f>(B11/1000)^2</f>
        <v>0</v>
      </c>
      <c r="I11">
        <f>(C11/1000)^2</f>
        <v>0</v>
      </c>
      <c r="J11">
        <f>(D11/1000)^2</f>
        <v>0</v>
      </c>
      <c r="K11">
        <f>(E11/1000)^2</f>
        <v>0</v>
      </c>
      <c r="L11">
        <f>(F11/1000)^2</f>
        <v>0</v>
      </c>
      <c r="M11">
        <f>IF( (B11/1000)^2 - (A11^2)/($T$31^2) &lt;= 0, 0, SQRT( (B11/1000)^2 - (A11^2)/($T$31^2) )*1000 )</f>
        <v>0</v>
      </c>
      <c r="N11">
        <f>IF( (C11/1000)^2 - (A11^2)/($U$31^2) &lt;= 0, 0, SQRT( (C11/1000)^2 - (A11^2)/($U$31^2) )*1000 )</f>
        <v>0</v>
      </c>
      <c r="O11">
        <f>IF( (D11/1000)^2 - (A11^2)/($V$31^2) &lt;= 0, 0, SQRT( (D11/1000)^2 - (A11^2)/($V$31^2) )*1000 )</f>
        <v>0</v>
      </c>
      <c r="P11">
        <f>IF( (E11/1000)^2 - (A11^2)/($W$31^2) &lt;= 0, 0, SQRT( (E11/1000)^2 - (A11^2)/($W$31^2) )*1000 )</f>
        <v>0</v>
      </c>
      <c r="Q11">
        <f>IF( (F11/1000)^2 - (A11^2)/($X$31^2) &lt;= 0, 0, SQRT( (F11/1000)^2 - (A11^2)/($X$31^2) )*1000 )</f>
        <v>0</v>
      </c>
    </row>
    <row r="12" spans="1:17">
      <c r="A12">
        <v>30</v>
      </c>
      <c r="B12">
        <v>11.88</v>
      </c>
      <c r="C12">
        <v>23.06</v>
      </c>
      <c r="D12">
        <v>37.98</v>
      </c>
      <c r="E12">
        <v>52</v>
      </c>
      <c r="F12">
        <v>81.11</v>
      </c>
      <c r="G12">
        <f>A12^2</f>
        <v>0</v>
      </c>
      <c r="H12">
        <f>(B12/1000)^2</f>
        <v>0</v>
      </c>
      <c r="I12">
        <f>(C12/1000)^2</f>
        <v>0</v>
      </c>
      <c r="J12">
        <f>(D12/1000)^2</f>
        <v>0</v>
      </c>
      <c r="K12">
        <f>(E12/1000)^2</f>
        <v>0</v>
      </c>
      <c r="L12">
        <f>(F12/1000)^2</f>
        <v>0</v>
      </c>
      <c r="M12">
        <f>IF( (B12/1000)^2 - (A12^2)/($T$31^2) &lt;= 0, 0, SQRT( (B12/1000)^2 - (A12^2)/($T$31^2) )*1000 )</f>
        <v>0</v>
      </c>
      <c r="N12">
        <f>IF( (C12/1000)^2 - (A12^2)/($U$31^2) &lt;= 0, 0, SQRT( (C12/1000)^2 - (A12^2)/($U$31^2) )*1000 )</f>
        <v>0</v>
      </c>
      <c r="O12">
        <f>IF( (D12/1000)^2 - (A12^2)/($V$31^2) &lt;= 0, 0, SQRT( (D12/1000)^2 - (A12^2)/($V$31^2) )*1000 )</f>
        <v>0</v>
      </c>
      <c r="P12">
        <f>IF( (E12/1000)^2 - (A12^2)/($W$31^2) &lt;= 0, 0, SQRT( (E12/1000)^2 - (A12^2)/($W$31^2) )*1000 )</f>
        <v>0</v>
      </c>
      <c r="Q12">
        <f>IF( (F12/1000)^2 - (A12^2)/($X$31^2) &lt;= 0, 0, SQRT( (F12/1000)^2 - (A12^2)/($X$31^2) )*1000 )</f>
        <v>0</v>
      </c>
    </row>
    <row r="13" spans="1:17">
      <c r="A13">
        <v>33</v>
      </c>
      <c r="B13">
        <v>13.43</v>
      </c>
      <c r="C13">
        <v>24.05</v>
      </c>
      <c r="D13">
        <v>38.69</v>
      </c>
      <c r="E13">
        <v>52.8</v>
      </c>
      <c r="F13">
        <v>81.29000000000001</v>
      </c>
      <c r="G13">
        <f>A13^2</f>
        <v>0</v>
      </c>
      <c r="H13">
        <f>(B13/1000)^2</f>
        <v>0</v>
      </c>
      <c r="I13">
        <f>(C13/1000)^2</f>
        <v>0</v>
      </c>
      <c r="J13">
        <f>(D13/1000)^2</f>
        <v>0</v>
      </c>
      <c r="K13">
        <f>(E13/1000)^2</f>
        <v>0</v>
      </c>
      <c r="L13">
        <f>(F13/1000)^2</f>
        <v>0</v>
      </c>
      <c r="M13">
        <f>IF( (B13/1000)^2 - (A13^2)/($T$31^2) &lt;= 0, 0, SQRT( (B13/1000)^2 - (A13^2)/($T$31^2) )*1000 )</f>
        <v>0</v>
      </c>
      <c r="N13">
        <f>IF( (C13/1000)^2 - (A13^2)/($U$31^2) &lt;= 0, 0, SQRT( (C13/1000)^2 - (A13^2)/($U$31^2) )*1000 )</f>
        <v>0</v>
      </c>
      <c r="O13">
        <f>IF( (D13/1000)^2 - (A13^2)/($V$31^2) &lt;= 0, 0, SQRT( (D13/1000)^2 - (A13^2)/($V$31^2) )*1000 )</f>
        <v>0</v>
      </c>
      <c r="P13">
        <f>IF( (E13/1000)^2 - (A13^2)/($W$31^2) &lt;= 0, 0, SQRT( (E13/1000)^2 - (A13^2)/($W$31^2) )*1000 )</f>
        <v>0</v>
      </c>
      <c r="Q13">
        <f>IF( (F13/1000)^2 - (A13^2)/($X$31^2) &lt;= 0, 0, SQRT( (F13/1000)^2 - (A13^2)/($X$31^2) )*1000 )</f>
        <v>0</v>
      </c>
    </row>
    <row r="14" spans="1:17">
      <c r="A14">
        <v>36</v>
      </c>
      <c r="B14">
        <v>15.04</v>
      </c>
      <c r="C14">
        <v>25.12</v>
      </c>
      <c r="D14">
        <v>39.45</v>
      </c>
      <c r="E14">
        <v>53.67</v>
      </c>
      <c r="F14">
        <v>81.51000000000001</v>
      </c>
      <c r="G14">
        <f>A14^2</f>
        <v>0</v>
      </c>
      <c r="H14">
        <f>(B14/1000)^2</f>
        <v>0</v>
      </c>
      <c r="I14">
        <f>(C14/1000)^2</f>
        <v>0</v>
      </c>
      <c r="J14">
        <f>(D14/1000)^2</f>
        <v>0</v>
      </c>
      <c r="K14">
        <f>(E14/1000)^2</f>
        <v>0</v>
      </c>
      <c r="L14">
        <f>(F14/1000)^2</f>
        <v>0</v>
      </c>
      <c r="M14">
        <f>IF( (B14/1000)^2 - (A14^2)/($T$31^2) &lt;= 0, 0, SQRT( (B14/1000)^2 - (A14^2)/($T$31^2) )*1000 )</f>
        <v>0</v>
      </c>
      <c r="N14">
        <f>IF( (C14/1000)^2 - (A14^2)/($U$31^2) &lt;= 0, 0, SQRT( (C14/1000)^2 - (A14^2)/($U$31^2) )*1000 )</f>
        <v>0</v>
      </c>
      <c r="O14">
        <f>IF( (D14/1000)^2 - (A14^2)/($V$31^2) &lt;= 0, 0, SQRT( (D14/1000)^2 - (A14^2)/($V$31^2) )*1000 )</f>
        <v>0</v>
      </c>
      <c r="P14">
        <f>IF( (E14/1000)^2 - (A14^2)/($W$31^2) &lt;= 0, 0, SQRT( (E14/1000)^2 - (A14^2)/($W$31^2) )*1000 )</f>
        <v>0</v>
      </c>
      <c r="Q14">
        <f>IF( (F14/1000)^2 - (A14^2)/($X$31^2) &lt;= 0, 0, SQRT( (F14/1000)^2 - (A14^2)/($X$31^2) )*1000 )</f>
        <v>0</v>
      </c>
    </row>
    <row r="15" spans="1:17">
      <c r="A15">
        <v>39</v>
      </c>
      <c r="B15">
        <v>16.72</v>
      </c>
      <c r="C15">
        <v>26.26</v>
      </c>
      <c r="D15">
        <v>40.28</v>
      </c>
      <c r="E15">
        <v>54.59</v>
      </c>
      <c r="F15">
        <v>81.75</v>
      </c>
      <c r="G15">
        <f>A15^2</f>
        <v>0</v>
      </c>
      <c r="H15">
        <f>(B15/1000)^2</f>
        <v>0</v>
      </c>
      <c r="I15">
        <f>(C15/1000)^2</f>
        <v>0</v>
      </c>
      <c r="J15">
        <f>(D15/1000)^2</f>
        <v>0</v>
      </c>
      <c r="K15">
        <f>(E15/1000)^2</f>
        <v>0</v>
      </c>
      <c r="L15">
        <f>(F15/1000)^2</f>
        <v>0</v>
      </c>
      <c r="M15">
        <f>IF( (B15/1000)^2 - (A15^2)/($T$31^2) &lt;= 0, 0, SQRT( (B15/1000)^2 - (A15^2)/($T$31^2) )*1000 )</f>
        <v>0</v>
      </c>
      <c r="N15">
        <f>IF( (C15/1000)^2 - (A15^2)/($U$31^2) &lt;= 0, 0, SQRT( (C15/1000)^2 - (A15^2)/($U$31^2) )*1000 )</f>
        <v>0</v>
      </c>
      <c r="O15">
        <f>IF( (D15/1000)^2 - (A15^2)/($V$31^2) &lt;= 0, 0, SQRT( (D15/1000)^2 - (A15^2)/($V$31^2) )*1000 )</f>
        <v>0</v>
      </c>
      <c r="P15">
        <f>IF( (E15/1000)^2 - (A15^2)/($W$31^2) &lt;= 0, 0, SQRT( (E15/1000)^2 - (A15^2)/($W$31^2) )*1000 )</f>
        <v>0</v>
      </c>
      <c r="Q15">
        <f>IF( (F15/1000)^2 - (A15^2)/($X$31^2) &lt;= 0, 0, SQRT( (F15/1000)^2 - (A15^2)/($X$31^2) )*1000 )</f>
        <v>0</v>
      </c>
    </row>
    <row r="16" spans="1:17">
      <c r="A16">
        <v>42</v>
      </c>
      <c r="B16">
        <v>18.44</v>
      </c>
      <c r="C16">
        <v>27.46</v>
      </c>
      <c r="D16">
        <v>41.16</v>
      </c>
      <c r="E16">
        <v>55.57</v>
      </c>
      <c r="F16">
        <v>82.03</v>
      </c>
      <c r="G16">
        <f>A16^2</f>
        <v>0</v>
      </c>
      <c r="H16">
        <f>(B16/1000)^2</f>
        <v>0</v>
      </c>
      <c r="I16">
        <f>(C16/1000)^2</f>
        <v>0</v>
      </c>
      <c r="J16">
        <f>(D16/1000)^2</f>
        <v>0</v>
      </c>
      <c r="K16">
        <f>(E16/1000)^2</f>
        <v>0</v>
      </c>
      <c r="L16">
        <f>(F16/1000)^2</f>
        <v>0</v>
      </c>
      <c r="M16">
        <f>IF( (B16/1000)^2 - (A16^2)/($T$31^2) &lt;= 0, 0, SQRT( (B16/1000)^2 - (A16^2)/($T$31^2) )*1000 )</f>
        <v>0</v>
      </c>
      <c r="N16">
        <f>IF( (C16/1000)^2 - (A16^2)/($U$31^2) &lt;= 0, 0, SQRT( (C16/1000)^2 - (A16^2)/($U$31^2) )*1000 )</f>
        <v>0</v>
      </c>
      <c r="O16">
        <f>IF( (D16/1000)^2 - (A16^2)/($V$31^2) &lt;= 0, 0, SQRT( (D16/1000)^2 - (A16^2)/($V$31^2) )*1000 )</f>
        <v>0</v>
      </c>
      <c r="P16">
        <f>IF( (E16/1000)^2 - (A16^2)/($W$31^2) &lt;= 0, 0, SQRT( (E16/1000)^2 - (A16^2)/($W$31^2) )*1000 )</f>
        <v>0</v>
      </c>
      <c r="Q16">
        <f>IF( (F16/1000)^2 - (A16^2)/($X$31^2) &lt;= 0, 0, SQRT( (F16/1000)^2 - (A16^2)/($X$31^2) )*1000 )</f>
        <v>0</v>
      </c>
    </row>
    <row r="17" spans="1:24">
      <c r="A17">
        <v>45</v>
      </c>
      <c r="B17">
        <v>20.2</v>
      </c>
      <c r="C17">
        <v>28.71</v>
      </c>
      <c r="D17">
        <v>42.09</v>
      </c>
      <c r="E17">
        <v>56.6</v>
      </c>
      <c r="F17">
        <v>82.34999999999999</v>
      </c>
      <c r="G17">
        <f>A17^2</f>
        <v>0</v>
      </c>
      <c r="H17">
        <f>(B17/1000)^2</f>
        <v>0</v>
      </c>
      <c r="I17">
        <f>(C17/1000)^2</f>
        <v>0</v>
      </c>
      <c r="J17">
        <f>(D17/1000)^2</f>
        <v>0</v>
      </c>
      <c r="K17">
        <f>(E17/1000)^2</f>
        <v>0</v>
      </c>
      <c r="L17">
        <f>(F17/1000)^2</f>
        <v>0</v>
      </c>
      <c r="M17">
        <f>IF( (B17/1000)^2 - (A17^2)/($T$31^2) &lt;= 0, 0, SQRT( (B17/1000)^2 - (A17^2)/($T$31^2) )*1000 )</f>
        <v>0</v>
      </c>
      <c r="N17">
        <f>IF( (C17/1000)^2 - (A17^2)/($U$31^2) &lt;= 0, 0, SQRT( (C17/1000)^2 - (A17^2)/($U$31^2) )*1000 )</f>
        <v>0</v>
      </c>
      <c r="O17">
        <f>IF( (D17/1000)^2 - (A17^2)/($V$31^2) &lt;= 0, 0, SQRT( (D17/1000)^2 - (A17^2)/($V$31^2) )*1000 )</f>
        <v>0</v>
      </c>
      <c r="P17">
        <f>IF( (E17/1000)^2 - (A17^2)/($W$31^2) &lt;= 0, 0, SQRT( (E17/1000)^2 - (A17^2)/($W$31^2) )*1000 )</f>
        <v>0</v>
      </c>
      <c r="Q17">
        <f>IF( (F17/1000)^2 - (A17^2)/($X$31^2) &lt;= 0, 0, SQRT( (F17/1000)^2 - (A17^2)/($X$31^2) )*1000 )</f>
        <v>0</v>
      </c>
    </row>
    <row r="18" spans="1:24">
      <c r="A18">
        <v>48</v>
      </c>
      <c r="B18">
        <v>22</v>
      </c>
      <c r="C18">
        <v>30.03</v>
      </c>
      <c r="D18">
        <v>43.07</v>
      </c>
      <c r="E18">
        <v>57.69</v>
      </c>
      <c r="F18">
        <v>82.69</v>
      </c>
      <c r="G18">
        <f>A18^2</f>
        <v>0</v>
      </c>
      <c r="H18">
        <f>(B18/1000)^2</f>
        <v>0</v>
      </c>
      <c r="I18">
        <f>(C18/1000)^2</f>
        <v>0</v>
      </c>
      <c r="J18">
        <f>(D18/1000)^2</f>
        <v>0</v>
      </c>
      <c r="K18">
        <f>(E18/1000)^2</f>
        <v>0</v>
      </c>
      <c r="L18">
        <f>(F18/1000)^2</f>
        <v>0</v>
      </c>
      <c r="M18">
        <f>IF( (B18/1000)^2 - (A18^2)/($T$31^2) &lt;= 0, 0, SQRT( (B18/1000)^2 - (A18^2)/($T$31^2) )*1000 )</f>
        <v>0</v>
      </c>
      <c r="N18">
        <f>IF( (C18/1000)^2 - (A18^2)/($U$31^2) &lt;= 0, 0, SQRT( (C18/1000)^2 - (A18^2)/($U$31^2) )*1000 )</f>
        <v>0</v>
      </c>
      <c r="O18">
        <f>IF( (D18/1000)^2 - (A18^2)/($V$31^2) &lt;= 0, 0, SQRT( (D18/1000)^2 - (A18^2)/($V$31^2) )*1000 )</f>
        <v>0</v>
      </c>
      <c r="P18">
        <f>IF( (E18/1000)^2 - (A18^2)/($W$31^2) &lt;= 0, 0, SQRT( (E18/1000)^2 - (A18^2)/($W$31^2) )*1000 )</f>
        <v>0</v>
      </c>
      <c r="Q18">
        <f>IF( (F18/1000)^2 - (A18^2)/($X$31^2) &lt;= 0, 0, SQRT( (F18/1000)^2 - (A18^2)/($X$31^2) )*1000 )</f>
        <v>0</v>
      </c>
    </row>
    <row r="19" spans="1:24">
      <c r="A19">
        <v>51</v>
      </c>
      <c r="B19">
        <v>23.84</v>
      </c>
      <c r="C19">
        <v>31.39</v>
      </c>
      <c r="D19">
        <v>44.1</v>
      </c>
      <c r="E19">
        <v>58.82</v>
      </c>
      <c r="F19">
        <v>83.08</v>
      </c>
      <c r="G19">
        <f>A19^2</f>
        <v>0</v>
      </c>
      <c r="H19">
        <f>(B19/1000)^2</f>
        <v>0</v>
      </c>
      <c r="I19">
        <f>(C19/1000)^2</f>
        <v>0</v>
      </c>
      <c r="J19">
        <f>(D19/1000)^2</f>
        <v>0</v>
      </c>
      <c r="K19">
        <f>(E19/1000)^2</f>
        <v>0</v>
      </c>
      <c r="L19">
        <f>(F19/1000)^2</f>
        <v>0</v>
      </c>
      <c r="M19">
        <f>IF( (B19/1000)^2 - (A19^2)/($T$31^2) &lt;= 0, 0, SQRT( (B19/1000)^2 - (A19^2)/($T$31^2) )*1000 )</f>
        <v>0</v>
      </c>
      <c r="N19">
        <f>IF( (C19/1000)^2 - (A19^2)/($U$31^2) &lt;= 0, 0, SQRT( (C19/1000)^2 - (A19^2)/($U$31^2) )*1000 )</f>
        <v>0</v>
      </c>
      <c r="O19">
        <f>IF( (D19/1000)^2 - (A19^2)/($V$31^2) &lt;= 0, 0, SQRT( (D19/1000)^2 - (A19^2)/($V$31^2) )*1000 )</f>
        <v>0</v>
      </c>
      <c r="P19">
        <f>IF( (E19/1000)^2 - (A19^2)/($W$31^2) &lt;= 0, 0, SQRT( (E19/1000)^2 - (A19^2)/($W$31^2) )*1000 )</f>
        <v>0</v>
      </c>
      <c r="Q19">
        <f>IF( (F19/1000)^2 - (A19^2)/($X$31^2) &lt;= 0, 0, SQRT( (F19/1000)^2 - (A19^2)/($X$31^2) )*1000 )</f>
        <v>0</v>
      </c>
    </row>
    <row r="20" spans="1:24">
      <c r="A20">
        <v>54</v>
      </c>
      <c r="B20">
        <v>25.7</v>
      </c>
      <c r="C20">
        <v>32.8</v>
      </c>
      <c r="D20">
        <v>45.18</v>
      </c>
      <c r="E20">
        <v>60</v>
      </c>
      <c r="F20">
        <v>83.5</v>
      </c>
      <c r="G20">
        <f>A20^2</f>
        <v>0</v>
      </c>
      <c r="H20">
        <f>(B20/1000)^2</f>
        <v>0</v>
      </c>
      <c r="I20">
        <f>(C20/1000)^2</f>
        <v>0</v>
      </c>
      <c r="J20">
        <f>(D20/1000)^2</f>
        <v>0</v>
      </c>
      <c r="K20">
        <f>(E20/1000)^2</f>
        <v>0</v>
      </c>
      <c r="L20">
        <f>(F20/1000)^2</f>
        <v>0</v>
      </c>
      <c r="M20">
        <f>IF( (B20/1000)^2 - (A20^2)/($T$31^2) &lt;= 0, 0, SQRT( (B20/1000)^2 - (A20^2)/($T$31^2) )*1000 )</f>
        <v>0</v>
      </c>
      <c r="N20">
        <f>IF( (C20/1000)^2 - (A20^2)/($U$31^2) &lt;= 0, 0, SQRT( (C20/1000)^2 - (A20^2)/($U$31^2) )*1000 )</f>
        <v>0</v>
      </c>
      <c r="O20">
        <f>IF( (D20/1000)^2 - (A20^2)/($V$31^2) &lt;= 0, 0, SQRT( (D20/1000)^2 - (A20^2)/($V$31^2) )*1000 )</f>
        <v>0</v>
      </c>
      <c r="P20">
        <f>IF( (E20/1000)^2 - (A20^2)/($W$31^2) &lt;= 0, 0, SQRT( (E20/1000)^2 - (A20^2)/($W$31^2) )*1000 )</f>
        <v>0</v>
      </c>
      <c r="Q20">
        <f>IF( (F20/1000)^2 - (A20^2)/($X$31^2) &lt;= 0, 0, SQRT( (F20/1000)^2 - (A20^2)/($X$31^2) )*1000 )</f>
        <v>0</v>
      </c>
    </row>
    <row r="21" spans="1:24">
      <c r="A21">
        <v>57</v>
      </c>
      <c r="B21">
        <v>27.58</v>
      </c>
      <c r="C21">
        <v>34.26</v>
      </c>
      <c r="D21">
        <v>46.31</v>
      </c>
      <c r="E21">
        <v>61.22</v>
      </c>
      <c r="F21">
        <v>83.95</v>
      </c>
      <c r="G21">
        <f>A21^2</f>
        <v>0</v>
      </c>
      <c r="H21">
        <f>(B21/1000)^2</f>
        <v>0</v>
      </c>
      <c r="I21">
        <f>(C21/1000)^2</f>
        <v>0</v>
      </c>
      <c r="J21">
        <f>(D21/1000)^2</f>
        <v>0</v>
      </c>
      <c r="K21">
        <f>(E21/1000)^2</f>
        <v>0</v>
      </c>
      <c r="L21">
        <f>(F21/1000)^2</f>
        <v>0</v>
      </c>
      <c r="M21">
        <f>IF( (B21/1000)^2 - (A21^2)/($T$31^2) &lt;= 0, 0, SQRT( (B21/1000)^2 - (A21^2)/($T$31^2) )*1000 )</f>
        <v>0</v>
      </c>
      <c r="N21">
        <f>IF( (C21/1000)^2 - (A21^2)/($U$31^2) &lt;= 0, 0, SQRT( (C21/1000)^2 - (A21^2)/($U$31^2) )*1000 )</f>
        <v>0</v>
      </c>
      <c r="O21">
        <f>IF( (D21/1000)^2 - (A21^2)/($V$31^2) &lt;= 0, 0, SQRT( (D21/1000)^2 - (A21^2)/($V$31^2) )*1000 )</f>
        <v>0</v>
      </c>
      <c r="P21">
        <f>IF( (E21/1000)^2 - (A21^2)/($W$31^2) &lt;= 0, 0, SQRT( (E21/1000)^2 - (A21^2)/($W$31^2) )*1000 )</f>
        <v>0</v>
      </c>
      <c r="Q21">
        <f>IF( (F21/1000)^2 - (A21^2)/($X$31^2) &lt;= 0, 0, SQRT( (F21/1000)^2 - (A21^2)/($X$31^2) )*1000 )</f>
        <v>0</v>
      </c>
    </row>
    <row r="22" spans="1:24">
      <c r="A22">
        <v>60</v>
      </c>
      <c r="B22">
        <v>29.49</v>
      </c>
      <c r="C22">
        <v>35.75</v>
      </c>
      <c r="D22">
        <v>47.48</v>
      </c>
      <c r="E22">
        <v>62.48</v>
      </c>
      <c r="F22">
        <v>84.44</v>
      </c>
      <c r="G22">
        <f>A22^2</f>
        <v>0</v>
      </c>
      <c r="H22">
        <f>(B22/1000)^2</f>
        <v>0</v>
      </c>
      <c r="I22">
        <f>(C22/1000)^2</f>
        <v>0</v>
      </c>
      <c r="J22">
        <f>(D22/1000)^2</f>
        <v>0</v>
      </c>
      <c r="K22">
        <f>(E22/1000)^2</f>
        <v>0</v>
      </c>
      <c r="L22">
        <f>(F22/1000)^2</f>
        <v>0</v>
      </c>
      <c r="M22">
        <f>IF( (B22/1000)^2 - (A22^2)/($T$31^2) &lt;= 0, 0, SQRT( (B22/1000)^2 - (A22^2)/($T$31^2) )*1000 )</f>
        <v>0</v>
      </c>
      <c r="N22">
        <f>IF( (C22/1000)^2 - (A22^2)/($U$31^2) &lt;= 0, 0, SQRT( (C22/1000)^2 - (A22^2)/($U$31^2) )*1000 )</f>
        <v>0</v>
      </c>
      <c r="O22">
        <f>IF( (D22/1000)^2 - (A22^2)/($V$31^2) &lt;= 0, 0, SQRT( (D22/1000)^2 - (A22^2)/($V$31^2) )*1000 )</f>
        <v>0</v>
      </c>
      <c r="P22">
        <f>IF( (E22/1000)^2 - (A22^2)/($W$31^2) &lt;= 0, 0, SQRT( (E22/1000)^2 - (A22^2)/($W$31^2) )*1000 )</f>
        <v>0</v>
      </c>
      <c r="Q22">
        <f>IF( (F22/1000)^2 - (A22^2)/($X$31^2) &lt;= 0, 0, SQRT( (F22/1000)^2 - (A22^2)/($X$31^2) )*1000 )</f>
        <v>0</v>
      </c>
    </row>
    <row r="23" spans="1:24">
      <c r="A23">
        <v>63</v>
      </c>
      <c r="B23">
        <v>31.41</v>
      </c>
      <c r="C23">
        <v>37.29</v>
      </c>
      <c r="D23">
        <v>48.69</v>
      </c>
      <c r="E23">
        <v>63.78</v>
      </c>
      <c r="F23">
        <v>84.95999999999999</v>
      </c>
      <c r="G23">
        <f>A23^2</f>
        <v>0</v>
      </c>
      <c r="H23">
        <f>(B23/1000)^2</f>
        <v>0</v>
      </c>
      <c r="I23">
        <f>(C23/1000)^2</f>
        <v>0</v>
      </c>
      <c r="J23">
        <f>(D23/1000)^2</f>
        <v>0</v>
      </c>
      <c r="K23">
        <f>(E23/1000)^2</f>
        <v>0</v>
      </c>
      <c r="L23">
        <f>(F23/1000)^2</f>
        <v>0</v>
      </c>
      <c r="M23">
        <f>IF( (B23/1000)^2 - (A23^2)/($T$31^2) &lt;= 0, 0, SQRT( (B23/1000)^2 - (A23^2)/($T$31^2) )*1000 )</f>
        <v>0</v>
      </c>
      <c r="N23">
        <f>IF( (C23/1000)^2 - (A23^2)/($U$31^2) &lt;= 0, 0, SQRT( (C23/1000)^2 - (A23^2)/($U$31^2) )*1000 )</f>
        <v>0</v>
      </c>
      <c r="O23">
        <f>IF( (D23/1000)^2 - (A23^2)/($V$31^2) &lt;= 0, 0, SQRT( (D23/1000)^2 - (A23^2)/($V$31^2) )*1000 )</f>
        <v>0</v>
      </c>
      <c r="P23">
        <f>IF( (E23/1000)^2 - (A23^2)/($W$31^2) &lt;= 0, 0, SQRT( (E23/1000)^2 - (A23^2)/($W$31^2) )*1000 )</f>
        <v>0</v>
      </c>
      <c r="Q23">
        <f>IF( (F23/1000)^2 - (A23^2)/($X$31^2) &lt;= 0, 0, SQRT( (F23/1000)^2 - (A23^2)/($X$31^2) )*1000 )</f>
        <v>0</v>
      </c>
    </row>
    <row r="24" spans="1:24">
      <c r="A24">
        <v>66</v>
      </c>
      <c r="B24">
        <v>33.36</v>
      </c>
      <c r="C24">
        <v>38.85</v>
      </c>
      <c r="D24">
        <v>49.93</v>
      </c>
      <c r="E24">
        <v>65.12</v>
      </c>
      <c r="F24">
        <v>85.52</v>
      </c>
      <c r="G24">
        <f>A24^2</f>
        <v>0</v>
      </c>
      <c r="H24">
        <f>(B24/1000)^2</f>
        <v>0</v>
      </c>
      <c r="I24">
        <f>(C24/1000)^2</f>
        <v>0</v>
      </c>
      <c r="J24">
        <f>(D24/1000)^2</f>
        <v>0</v>
      </c>
      <c r="K24">
        <f>(E24/1000)^2</f>
        <v>0</v>
      </c>
      <c r="L24">
        <f>(F24/1000)^2</f>
        <v>0</v>
      </c>
      <c r="M24">
        <f>IF( (B24/1000)^2 - (A24^2)/($T$31^2) &lt;= 0, 0, SQRT( (B24/1000)^2 - (A24^2)/($T$31^2) )*1000 )</f>
        <v>0</v>
      </c>
      <c r="N24">
        <f>IF( (C24/1000)^2 - (A24^2)/($U$31^2) &lt;= 0, 0, SQRT( (C24/1000)^2 - (A24^2)/($U$31^2) )*1000 )</f>
        <v>0</v>
      </c>
      <c r="O24">
        <f>IF( (D24/1000)^2 - (A24^2)/($V$31^2) &lt;= 0, 0, SQRT( (D24/1000)^2 - (A24^2)/($V$31^2) )*1000 )</f>
        <v>0</v>
      </c>
      <c r="P24">
        <f>IF( (E24/1000)^2 - (A24^2)/($W$31^2) &lt;= 0, 0, SQRT( (E24/1000)^2 - (A24^2)/($W$31^2) )*1000 )</f>
        <v>0</v>
      </c>
      <c r="Q24">
        <f>IF( (F24/1000)^2 - (A24^2)/($X$31^2) &lt;= 0, 0, SQRT( (F24/1000)^2 - (A24^2)/($X$31^2) )*1000 )</f>
        <v>0</v>
      </c>
    </row>
    <row r="25" spans="1:24">
      <c r="A25">
        <v>69</v>
      </c>
      <c r="B25">
        <v>35.31</v>
      </c>
      <c r="C25">
        <v>40.46</v>
      </c>
      <c r="D25">
        <v>51.22</v>
      </c>
      <c r="E25">
        <v>66.48</v>
      </c>
      <c r="F25">
        <v>86.11</v>
      </c>
      <c r="G25">
        <f>A25^2</f>
        <v>0</v>
      </c>
      <c r="H25">
        <f>(B25/1000)^2</f>
        <v>0</v>
      </c>
      <c r="I25">
        <f>(C25/1000)^2</f>
        <v>0</v>
      </c>
      <c r="J25">
        <f>(D25/1000)^2</f>
        <v>0</v>
      </c>
      <c r="K25">
        <f>(E25/1000)^2</f>
        <v>0</v>
      </c>
      <c r="L25">
        <f>(F25/1000)^2</f>
        <v>0</v>
      </c>
      <c r="M25">
        <f>IF( (B25/1000)^2 - (A25^2)/($T$31^2) &lt;= 0, 0, SQRT( (B25/1000)^2 - (A25^2)/($T$31^2) )*1000 )</f>
        <v>0</v>
      </c>
      <c r="N25">
        <f>IF( (C25/1000)^2 - (A25^2)/($U$31^2) &lt;= 0, 0, SQRT( (C25/1000)^2 - (A25^2)/($U$31^2) )*1000 )</f>
        <v>0</v>
      </c>
      <c r="O25">
        <f>IF( (D25/1000)^2 - (A25^2)/($V$31^2) &lt;= 0, 0, SQRT( (D25/1000)^2 - (A25^2)/($V$31^2) )*1000 )</f>
        <v>0</v>
      </c>
      <c r="P25">
        <f>IF( (E25/1000)^2 - (A25^2)/($W$31^2) &lt;= 0, 0, SQRT( (E25/1000)^2 - (A25^2)/($W$31^2) )*1000 )</f>
        <v>0</v>
      </c>
      <c r="Q25">
        <f>IF( (F25/1000)^2 - (A25^2)/($X$31^2) &lt;= 0, 0, SQRT( (F25/1000)^2 - (A25^2)/($X$31^2) )*1000 )</f>
        <v>0</v>
      </c>
    </row>
    <row r="26" spans="1:24">
      <c r="A26">
        <v>72</v>
      </c>
      <c r="B26">
        <v>37.29</v>
      </c>
      <c r="C26">
        <v>42.09</v>
      </c>
      <c r="D26">
        <v>52.54</v>
      </c>
      <c r="E26">
        <v>67.88</v>
      </c>
      <c r="F26">
        <v>86.73999999999999</v>
      </c>
      <c r="G26">
        <f>A26^2</f>
        <v>0</v>
      </c>
      <c r="H26">
        <f>(B26/1000)^2</f>
        <v>0</v>
      </c>
      <c r="I26">
        <f>(C26/1000)^2</f>
        <v>0</v>
      </c>
      <c r="J26">
        <f>(D26/1000)^2</f>
        <v>0</v>
      </c>
      <c r="K26">
        <f>(E26/1000)^2</f>
        <v>0</v>
      </c>
      <c r="L26">
        <f>(F26/1000)^2</f>
        <v>0</v>
      </c>
      <c r="M26">
        <f>IF( (B26/1000)^2 - (A26^2)/($T$31^2) &lt;= 0, 0, SQRT( (B26/1000)^2 - (A26^2)/($T$31^2) )*1000 )</f>
        <v>0</v>
      </c>
      <c r="N26">
        <f>IF( (C26/1000)^2 - (A26^2)/($U$31^2) &lt;= 0, 0, SQRT( (C26/1000)^2 - (A26^2)/($U$31^2) )*1000 )</f>
        <v>0</v>
      </c>
      <c r="O26">
        <f>IF( (D26/1000)^2 - (A26^2)/($V$31^2) &lt;= 0, 0, SQRT( (D26/1000)^2 - (A26^2)/($V$31^2) )*1000 )</f>
        <v>0</v>
      </c>
      <c r="P26">
        <f>IF( (E26/1000)^2 - (A26^2)/($W$31^2) &lt;= 0, 0, SQRT( (E26/1000)^2 - (A26^2)/($W$31^2) )*1000 )</f>
        <v>0</v>
      </c>
      <c r="Q26">
        <f>IF( (F26/1000)^2 - (A26^2)/($X$31^2) &lt;= 0, 0, SQRT( (F26/1000)^2 - (A26^2)/($X$31^2) )*1000 )</f>
        <v>0</v>
      </c>
    </row>
    <row r="28" spans="1:24">
      <c r="T28" t="s">
        <v>20</v>
      </c>
      <c r="U28" t="s">
        <v>21</v>
      </c>
      <c r="V28" t="s">
        <v>22</v>
      </c>
      <c r="W28" t="s">
        <v>23</v>
      </c>
      <c r="X28" t="s">
        <v>24</v>
      </c>
    </row>
    <row r="29" spans="1:24">
      <c r="S29" t="s">
        <v>25</v>
      </c>
      <c r="T29">
        <f>IFERROR(SQRT(INTERCEPT(H2:H26, G2:G26)), NA())</f>
        <v>0</v>
      </c>
      <c r="U29">
        <f>IFERROR(SQRT(INTERCEPT(I2:I26, G2:G26)), NA())</f>
        <v>0</v>
      </c>
      <c r="V29">
        <f>IFERROR(SQRT(INTERCEPT(J2:J26, G2:G26)), NA())</f>
        <v>0</v>
      </c>
      <c r="W29">
        <f>IFERROR(SQRT(INTERCEPT(K2:K26, G2:G26)), NA())</f>
        <v>0</v>
      </c>
      <c r="X29">
        <f>IFERROR(SQRT(INTERCEPT(L2:L26, G2:G26)), NA())</f>
        <v>0</v>
      </c>
    </row>
    <row r="30" spans="1:24">
      <c r="S30" t="s">
        <v>26</v>
      </c>
      <c r="T30">
        <f>IF(ISNA(T29),NA(),T29*1000)</f>
        <v>0</v>
      </c>
      <c r="U30">
        <f>IF(ISNA(U29),NA(),U29*1000)</f>
        <v>0</v>
      </c>
      <c r="V30">
        <f>IF(ISNA(V29),NA(),V29*1000)</f>
        <v>0</v>
      </c>
      <c r="W30">
        <f>IF(ISNA(W29),NA(),W29*1000)</f>
        <v>0</v>
      </c>
      <c r="X30">
        <f>IF(ISNA(X29),NA(),X29*1000)</f>
        <v>0</v>
      </c>
    </row>
    <row r="31" spans="1:24">
      <c r="S31" t="s">
        <v>27</v>
      </c>
      <c r="T31">
        <f>IFERROR(SQRT(1/SLOPE(H2:H26, G2:G26)), NA())</f>
        <v>0</v>
      </c>
      <c r="U31">
        <f>IFERROR(SQRT(1/SLOPE(I2:I26, G2:G26)), NA())</f>
        <v>0</v>
      </c>
      <c r="V31">
        <f>IFERROR(SQRT(1/SLOPE(J2:J26, G2:G26)), NA())</f>
        <v>0</v>
      </c>
      <c r="W31">
        <f>IFERROR(SQRT(1/SLOPE(K2:K26, G2:G26)), NA())</f>
        <v>0</v>
      </c>
      <c r="X31">
        <f>IFERROR(SQRT(1/SLOPE(L2:L26, G2:G26)), NA())</f>
        <v>0</v>
      </c>
    </row>
    <row r="32" spans="1:24">
      <c r="S32" t="s">
        <v>28</v>
      </c>
      <c r="T32">
        <f>T31</f>
        <v>0</v>
      </c>
      <c r="U32">
        <f>IFERROR(SQRT((( U31^2 * U29) - (T31^2 * T29)) / (U29 - T29)), NA())</f>
        <v>0</v>
      </c>
      <c r="V32">
        <f>IFERROR(SQRT((( V31^2 * V29) - (U31^2 * U29)) / (V29 - U29)), NA())</f>
        <v>0</v>
      </c>
      <c r="W32">
        <f>IFERROR(SQRT((( W31^2 * W29) - (V31^2 * V29)) / (W29 - V29)), NA())</f>
        <v>0</v>
      </c>
      <c r="X32">
        <f>IFERROR(SQRT((( X31^2 * X29) - (W31^2 * W29)) / (X29 - W29)), NA())</f>
        <v>0</v>
      </c>
    </row>
    <row r="33" spans="19:24">
      <c r="S33" t="s">
        <v>29</v>
      </c>
      <c r="T33">
        <f>IF(OR(ISNA(T32),ISNA(T29)),NA(),T32*(T29/2))</f>
        <v>0</v>
      </c>
      <c r="U33">
        <f>IF(ISNA(U34),NA(),T33 + U34)</f>
        <v>0</v>
      </c>
      <c r="V33">
        <f>IF(ISNA(V34),NA(),U33 + V34)</f>
        <v>0</v>
      </c>
      <c r="W33">
        <f>IF(ISNA(W34),NA(),V33 + W34)</f>
        <v>0</v>
      </c>
      <c r="X33">
        <f>IF(ISNA(X34),NA(),W33 + X34)</f>
        <v>0</v>
      </c>
    </row>
    <row r="34" spans="19:24">
      <c r="S34" t="s">
        <v>30</v>
      </c>
      <c r="T34">
        <f>T33</f>
        <v>0</v>
      </c>
      <c r="U34">
        <f>IF(OR(ISNA(U32),ISNA(U29),ISNA(T29)),NA(),U32*((U29 - T29)/2))</f>
        <v>0</v>
      </c>
      <c r="V34">
        <f>IF(OR(ISNA(V32),ISNA(V29),ISNA(U29)),NA(),V32*((V29 - U29)/2))</f>
        <v>0</v>
      </c>
      <c r="W34">
        <f>IF(OR(ISNA(W32),ISNA(W29),ISNA(V29)),NA(),W32*((W29 - V29)/2))</f>
        <v>0</v>
      </c>
      <c r="X34">
        <f>IF(OR(ISNA(X32),ISNA(X29),ISNA(W29)),NA(),X32*((X29 - W29)/2))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Dados_originais</vt:lpstr>
      <vt:lpstr>Calculos</vt:lpstr>
      <vt:lpstr>Graficos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2026-01-04T11:30:34Z</dcterms:created>
  <dcterms:modified xsi:type="dcterms:W3CDTF">2026-01-04T11:30:34Z</dcterms:modified>
</cp:coreProperties>
</file>